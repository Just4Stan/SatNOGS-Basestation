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robbe_lehaen_student_kuleuven_be/Documents/Master/Thesis/CC1200_PCB/"/>
    </mc:Choice>
  </mc:AlternateContent>
  <xr:revisionPtr revIDLastSave="1" documentId="14_{4AB3A309-42CA-41DF-A2B8-DEC49F72C098}" xr6:coauthVersionLast="47" xr6:coauthVersionMax="47" xr10:uidLastSave="{A1E03B3D-7C1A-4C00-8CCC-65E57EFDB227}"/>
  <bookViews>
    <workbookView xWindow="-120" yWindow="-120" windowWidth="29040" windowHeight="15720" xr2:uid="{A24B63D4-B562-45F7-99B2-D7AA25DA72DC}"/>
  </bookViews>
  <sheets>
    <sheet name="CC1200_PCB" sheetId="1" r:id="rId1"/>
  </sheets>
  <definedNames>
    <definedName name="_xlnm.Print_Titles" localSheetId="0">CC1200_PCB!$1:$1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2" i="1"/>
  <c r="F36" i="1" l="1"/>
</calcChain>
</file>

<file path=xl/sharedStrings.xml><?xml version="1.0" encoding="utf-8"?>
<sst xmlns="http://schemas.openxmlformats.org/spreadsheetml/2006/main" count="140" uniqueCount="105">
  <si>
    <t>Comment</t>
  </si>
  <si>
    <t>Description</t>
  </si>
  <si>
    <t>Designator</t>
  </si>
  <si>
    <t>Quantity</t>
  </si>
  <si>
    <t>GRM188D70J226ME01D</t>
  </si>
  <si>
    <t>Multilayer Ceramic Capacitor 22uF 20% 6.3V X7T 0603 Paper T/R</t>
  </si>
  <si>
    <t>C15, C16</t>
  </si>
  <si>
    <t>GCJ188R71C103KA01D</t>
  </si>
  <si>
    <t>Cap Ceramic 0.01uF 16V X7R 10% Pad SMD 0603 Soft Termination 125C Automotive T/R</t>
  </si>
  <si>
    <t>C38</t>
  </si>
  <si>
    <t>06035A5R1CAT2A</t>
  </si>
  <si>
    <t>0603 5.1 pF 50 V ±0.25 pF Tolerance C0G/NP0 Multilayer Ceramic Capacitor</t>
  </si>
  <si>
    <t>C39, C48, C51</t>
  </si>
  <si>
    <t>06035A560JAT2A</t>
  </si>
  <si>
    <t>0603 56 pF 50 V ±5% Tolerance C0G/NP0 Surface Mount Multilayer Ceramic Capacitor</t>
  </si>
  <si>
    <t>C40</t>
  </si>
  <si>
    <t>06035A101JAT2A</t>
  </si>
  <si>
    <t>0603 100 pF 50 V ±5% Tolerance C0G/NP0 SMT Multilayer Ceramic Capacitor</t>
  </si>
  <si>
    <t>C41</t>
  </si>
  <si>
    <t>06035A390JAT2A</t>
  </si>
  <si>
    <t>C47</t>
  </si>
  <si>
    <t>C49</t>
  </si>
  <si>
    <t>06035A2R2CAT2A</t>
  </si>
  <si>
    <t>0603 2.2 pF 50 V ±0.25 pF Tolerance C0G/NP0 SMT Multilayer Ceramic Capacitor</t>
  </si>
  <si>
    <t>C50</t>
  </si>
  <si>
    <t>GCM188R71H152KA37D</t>
  </si>
  <si>
    <t>C52</t>
  </si>
  <si>
    <t>LED 0805 BLUE SMD</t>
  </si>
  <si>
    <t>D1, D3, D4, D5, D7</t>
  </si>
  <si>
    <t>SMBJ33A-13-F</t>
  </si>
  <si>
    <t>TVS DIODE 33V 53.3V SMB</t>
  </si>
  <si>
    <t>D2</t>
  </si>
  <si>
    <t>150141M173100</t>
  </si>
  <si>
    <t>D6</t>
  </si>
  <si>
    <t>BLM18HE601SN1D</t>
  </si>
  <si>
    <t>Chip Ferrite Bead, 0603, 600Ω @ 100MHz, 0.25Ω, 25%, 800mA</t>
  </si>
  <si>
    <t>FB1</t>
  </si>
  <si>
    <t>USBLC6-2SC6</t>
  </si>
  <si>
    <t>Integrated Circuit</t>
  </si>
  <si>
    <t>IC1</t>
  </si>
  <si>
    <t>CC1200RHBR</t>
  </si>
  <si>
    <t>IC2</t>
  </si>
  <si>
    <t>CON-SMA-EDGE-S</t>
  </si>
  <si>
    <t>CONN SMA JACK STR EDGE MNT</t>
  </si>
  <si>
    <t>J2</t>
  </si>
  <si>
    <t>USB4105-GF-A-060</t>
  </si>
  <si>
    <t>USB Connector Type C SMT 12 Pin</t>
  </si>
  <si>
    <t>XFL4020-222MEC</t>
  </si>
  <si>
    <t>INDUCTOR, 2.2UH, 8A, 20%, 38MHZ, REEL</t>
  </si>
  <si>
    <t>L1</t>
  </si>
  <si>
    <t>LQG18HN56NJ00D</t>
  </si>
  <si>
    <t>Multilayer type RF Inductor 56nH ±5% 0.75Ω 400mA 0603</t>
  </si>
  <si>
    <t>L2, L3</t>
  </si>
  <si>
    <t>LQG18HN27NJ00D</t>
  </si>
  <si>
    <t>Multilayer type RF Inductor 27nH ±5% 0.54Ω 500mA 0603</t>
  </si>
  <si>
    <t>L4, L5</t>
  </si>
  <si>
    <t>LQG18HN15NJ00D</t>
  </si>
  <si>
    <t>Multilayer type RF Inductor 15nH ±5% 0.35Ω 600mA 0603</t>
  </si>
  <si>
    <t>L6, L9</t>
  </si>
  <si>
    <t>Multilayer type RF Inductor 43nH ±5%0603</t>
  </si>
  <si>
    <t>L7</t>
  </si>
  <si>
    <t>LQG18HN22NJ00D</t>
  </si>
  <si>
    <t>Multilayer type RF Inductor 22nH ±5% 0.5Ω 500mA 0603</t>
  </si>
  <si>
    <t>L8</t>
  </si>
  <si>
    <t>36906326S</t>
  </si>
  <si>
    <t>36906326S WE-SHC Shielding Cabinet</t>
  </si>
  <si>
    <t>MP1</t>
  </si>
  <si>
    <t>MMBT3904-7-F</t>
  </si>
  <si>
    <t>TRANS NPN 40V 0.2A SMD SOT23-3</t>
  </si>
  <si>
    <t>Q2</t>
  </si>
  <si>
    <t>JS102011SAQN</t>
  </si>
  <si>
    <t>SWITCH SLIDE SPDT 300MA 6V</t>
  </si>
  <si>
    <t>SW1</t>
  </si>
  <si>
    <t>INA260AIPWR</t>
  </si>
  <si>
    <t>IC MONITOR PWR/CURR 16TSSOP</t>
  </si>
  <si>
    <t>U1</t>
  </si>
  <si>
    <t>LT8609SIV#PBF</t>
  </si>
  <si>
    <t>IC REG BUCK ADJUSTABLE 2A 16LQFN</t>
  </si>
  <si>
    <t>U2</t>
  </si>
  <si>
    <t>TPS7A2133PQWDRBRQ1</t>
  </si>
  <si>
    <t>Automotive, 500mA, low-noise ultra-low-IQ high-PSRR low-dropout (LDO) voltage regulator</t>
  </si>
  <si>
    <t>U3, U5</t>
  </si>
  <si>
    <t>TPS2113ADRBT</t>
  </si>
  <si>
    <t>Dual In / Single Out Autoswitching Power Mux, 2.8 to 5.5 V, -40 to 85 degC, 9-pin SON (DRB), Green (RoHS &amp; no Sb/Br)</t>
  </si>
  <si>
    <t>U4</t>
  </si>
  <si>
    <t>32-Bit Dual-Core ARM Cortex-M0+ Microcontroller</t>
  </si>
  <si>
    <t>U6</t>
  </si>
  <si>
    <t>W25Q128JVSIQ</t>
  </si>
  <si>
    <t>FLASH - NOR Memory IC 128Mb (16M x 8) SPI - Quad I/O, QPI, DTR 133 MHz 8-SOIC</t>
  </si>
  <si>
    <t>U7</t>
  </si>
  <si>
    <t>ABM8-272-T3</t>
  </si>
  <si>
    <t>12 MHz Â±30ppm Crystal 10pF 50 Ohms 4-SMD, No Lead</t>
  </si>
  <si>
    <t>Y1</t>
  </si>
  <si>
    <t>NX3225SA-40.000MHZ-STD-CSR-1 NDK</t>
  </si>
  <si>
    <t>Parallel - Fundamental Quartz Crystal, 40MHz Nom</t>
  </si>
  <si>
    <t>Y2</t>
  </si>
  <si>
    <t>Supplier</t>
  </si>
  <si>
    <t>Mouser</t>
  </si>
  <si>
    <t>LSM0805463V</t>
  </si>
  <si>
    <t>0603DC-43NXJRW</t>
  </si>
  <si>
    <t>SC0914(7)</t>
  </si>
  <si>
    <t>06035A6R2BAT2A</t>
  </si>
  <si>
    <t xml:space="preserve">Price </t>
  </si>
  <si>
    <t>Total 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</si>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</sst>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5832-AE31-4EE4-B0A9-92DE5C2E250B}">
  <dimension ref="A1:G36"/>
  <sheetViews>
    <sheetView tabSelected="1" workbookViewId="0">
      <selection activeCell="E29" sqref="E29"/>
    </sheetView>
  </sheetViews>
  <sheetFormatPr defaultRowHeight="15" x14ac:dyDescent="0.25"/>
  <cols>
    <col min="1" max="1" width="21.85546875" customWidth="1"/>
    <col min="2" max="2" width="36" customWidth="1"/>
    <col min="3" max="3" width="19" customWidth="1"/>
    <col min="4" max="4" width="8.85546875" customWidth="1"/>
    <col min="6" max="6" width="11.140625" customWidth="1"/>
  </cols>
  <sheetData>
    <row r="1" spans="1: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102</v>
      </c>
      <c r="F1" s="2" t="s">
        <v>103</v>
      </c>
      <c r="G1" s="2" t="s">
        <v>96</v>
      </c>
    </row>
    <row r="2" spans="1:7" x14ac:dyDescent="0.25">
      <c r="A2" s="1" t="s">
        <v>4</v>
      </c>
      <c r="B2" s="1" t="s">
        <v>5</v>
      </c>
      <c r="C2" s="1" t="s">
        <v>6</v>
      </c>
      <c r="D2" s="1">
        <v>5</v>
      </c>
      <c r="E2" s="1">
        <v>0.28399999999999997</v>
      </c>
      <c r="F2" s="1">
        <f>D2*E2</f>
        <v>1.42</v>
      </c>
      <c r="G2" s="1" t="s">
        <v>97</v>
      </c>
    </row>
    <row r="3" spans="1:7" x14ac:dyDescent="0.25">
      <c r="A3" s="1" t="s">
        <v>7</v>
      </c>
      <c r="B3" s="1" t="s">
        <v>8</v>
      </c>
      <c r="C3" s="1" t="s">
        <v>9</v>
      </c>
      <c r="D3" s="1">
        <v>3</v>
      </c>
      <c r="E3" s="1">
        <v>0.20599999999999999</v>
      </c>
      <c r="F3" s="1">
        <f t="shared" ref="F3:F35" si="0">D3*E3</f>
        <v>0.61799999999999999</v>
      </c>
      <c r="G3" s="1" t="s">
        <v>97</v>
      </c>
    </row>
    <row r="4" spans="1:7" x14ac:dyDescent="0.25">
      <c r="A4" s="1" t="s">
        <v>10</v>
      </c>
      <c r="B4" s="1" t="s">
        <v>11</v>
      </c>
      <c r="C4" s="1" t="s">
        <v>12</v>
      </c>
      <c r="D4" s="1">
        <v>8</v>
      </c>
      <c r="E4" s="1">
        <v>0.17199999999999999</v>
      </c>
      <c r="F4" s="1">
        <f t="shared" si="0"/>
        <v>1.3759999999999999</v>
      </c>
      <c r="G4" s="1" t="s">
        <v>97</v>
      </c>
    </row>
    <row r="5" spans="1:7" x14ac:dyDescent="0.25">
      <c r="A5" s="1" t="s">
        <v>13</v>
      </c>
      <c r="B5" s="1" t="s">
        <v>14</v>
      </c>
      <c r="C5" s="1" t="s">
        <v>15</v>
      </c>
      <c r="D5" s="1">
        <v>3</v>
      </c>
      <c r="E5" s="1">
        <v>9.5000000000000001E-2</v>
      </c>
      <c r="F5" s="1">
        <f t="shared" si="0"/>
        <v>0.28500000000000003</v>
      </c>
      <c r="G5" s="1" t="s">
        <v>97</v>
      </c>
    </row>
    <row r="6" spans="1:7" x14ac:dyDescent="0.25">
      <c r="A6" s="1" t="s">
        <v>16</v>
      </c>
      <c r="B6" s="1" t="s">
        <v>17</v>
      </c>
      <c r="C6" s="1" t="s">
        <v>18</v>
      </c>
      <c r="D6" s="1">
        <v>3</v>
      </c>
      <c r="E6" s="1">
        <v>9.5000000000000001E-2</v>
      </c>
      <c r="F6" s="1">
        <f t="shared" si="0"/>
        <v>0.28500000000000003</v>
      </c>
      <c r="G6" s="1" t="s">
        <v>97</v>
      </c>
    </row>
    <row r="7" spans="1:7" x14ac:dyDescent="0.25">
      <c r="A7" s="1" t="s">
        <v>19</v>
      </c>
      <c r="B7" s="1"/>
      <c r="C7" s="1" t="s">
        <v>20</v>
      </c>
      <c r="D7" s="1">
        <v>3</v>
      </c>
      <c r="E7" s="1">
        <v>0.13800000000000001</v>
      </c>
      <c r="F7" s="1">
        <f t="shared" si="0"/>
        <v>0.41400000000000003</v>
      </c>
      <c r="G7" s="1" t="s">
        <v>97</v>
      </c>
    </row>
    <row r="8" spans="1:7" x14ac:dyDescent="0.25">
      <c r="A8" s="4" t="s">
        <v>101</v>
      </c>
      <c r="B8" s="1"/>
      <c r="C8" s="1" t="s">
        <v>21</v>
      </c>
      <c r="D8" s="1">
        <v>3</v>
      </c>
      <c r="E8" s="1">
        <v>0.53300000000000003</v>
      </c>
      <c r="F8" s="1">
        <f t="shared" si="0"/>
        <v>1.5990000000000002</v>
      </c>
      <c r="G8" s="1" t="s">
        <v>97</v>
      </c>
    </row>
    <row r="9" spans="1:7" x14ac:dyDescent="0.25">
      <c r="A9" s="1" t="s">
        <v>22</v>
      </c>
      <c r="B9" s="1" t="s">
        <v>23</v>
      </c>
      <c r="C9" s="1" t="s">
        <v>24</v>
      </c>
      <c r="D9" s="1">
        <v>3</v>
      </c>
      <c r="E9" s="1">
        <v>0.129</v>
      </c>
      <c r="F9" s="1">
        <f t="shared" si="0"/>
        <v>0.38700000000000001</v>
      </c>
      <c r="G9" s="1" t="s">
        <v>97</v>
      </c>
    </row>
    <row r="10" spans="1:7" x14ac:dyDescent="0.25">
      <c r="A10" s="1" t="s">
        <v>25</v>
      </c>
      <c r="B10" s="1"/>
      <c r="C10" s="1" t="s">
        <v>26</v>
      </c>
      <c r="D10" s="1">
        <v>3</v>
      </c>
      <c r="E10" s="1">
        <v>0.10299999999999999</v>
      </c>
      <c r="F10" s="1">
        <f t="shared" si="0"/>
        <v>0.309</v>
      </c>
      <c r="G10" s="1" t="s">
        <v>97</v>
      </c>
    </row>
    <row r="11" spans="1:7" x14ac:dyDescent="0.25">
      <c r="A11" s="4" t="s">
        <v>98</v>
      </c>
      <c r="B11" s="1" t="s">
        <v>27</v>
      </c>
      <c r="C11" s="1" t="s">
        <v>28</v>
      </c>
      <c r="D11" s="1">
        <v>12</v>
      </c>
      <c r="E11" s="1">
        <v>0.255</v>
      </c>
      <c r="F11" s="1">
        <f t="shared" si="0"/>
        <v>3.06</v>
      </c>
      <c r="G11" s="1" t="s">
        <v>97</v>
      </c>
    </row>
    <row r="12" spans="1:7" x14ac:dyDescent="0.25">
      <c r="A12" s="1" t="s">
        <v>29</v>
      </c>
      <c r="B12" s="1" t="s">
        <v>30</v>
      </c>
      <c r="C12" s="1" t="s">
        <v>31</v>
      </c>
      <c r="D12" s="1">
        <v>3</v>
      </c>
      <c r="E12" s="1">
        <v>0.18099999999999999</v>
      </c>
      <c r="F12" s="1">
        <f t="shared" si="0"/>
        <v>0.54299999999999993</v>
      </c>
      <c r="G12" s="1" t="s">
        <v>97</v>
      </c>
    </row>
    <row r="13" spans="1:7" x14ac:dyDescent="0.25">
      <c r="A13" s="1" t="s">
        <v>32</v>
      </c>
      <c r="B13" s="1"/>
      <c r="C13" s="1" t="s">
        <v>33</v>
      </c>
      <c r="D13" s="1">
        <v>2</v>
      </c>
      <c r="E13" s="1">
        <v>0.43</v>
      </c>
      <c r="F13" s="1">
        <f t="shared" si="0"/>
        <v>0.86</v>
      </c>
      <c r="G13" s="1" t="s">
        <v>97</v>
      </c>
    </row>
    <row r="14" spans="1:7" x14ac:dyDescent="0.25">
      <c r="A14" s="1" t="s">
        <v>34</v>
      </c>
      <c r="B14" s="1" t="s">
        <v>35</v>
      </c>
      <c r="C14" s="1" t="s">
        <v>36</v>
      </c>
      <c r="D14" s="1">
        <v>2</v>
      </c>
      <c r="E14" s="1">
        <v>0.18099999999999999</v>
      </c>
      <c r="F14" s="1">
        <f t="shared" si="0"/>
        <v>0.36199999999999999</v>
      </c>
      <c r="G14" s="1" t="s">
        <v>97</v>
      </c>
    </row>
    <row r="15" spans="1:7" x14ac:dyDescent="0.25">
      <c r="A15" s="1" t="s">
        <v>37</v>
      </c>
      <c r="B15" s="1" t="s">
        <v>38</v>
      </c>
      <c r="C15" s="1" t="s">
        <v>39</v>
      </c>
      <c r="D15" s="1">
        <v>3</v>
      </c>
      <c r="E15" s="1">
        <v>0.31</v>
      </c>
      <c r="F15" s="1">
        <f t="shared" si="0"/>
        <v>0.92999999999999994</v>
      </c>
      <c r="G15" s="1" t="s">
        <v>97</v>
      </c>
    </row>
    <row r="16" spans="1:7" x14ac:dyDescent="0.25">
      <c r="A16" s="1" t="s">
        <v>40</v>
      </c>
      <c r="B16" s="1" t="s">
        <v>38</v>
      </c>
      <c r="C16" s="1" t="s">
        <v>41</v>
      </c>
      <c r="D16" s="1">
        <v>2</v>
      </c>
      <c r="E16" s="1">
        <v>4.1399999999999997</v>
      </c>
      <c r="F16" s="1">
        <f t="shared" si="0"/>
        <v>8.2799999999999994</v>
      </c>
      <c r="G16" s="1" t="s">
        <v>97</v>
      </c>
    </row>
    <row r="17" spans="1:7" x14ac:dyDescent="0.25">
      <c r="A17" s="1" t="s">
        <v>42</v>
      </c>
      <c r="B17" s="1" t="s">
        <v>43</v>
      </c>
      <c r="C17" s="1" t="s">
        <v>44</v>
      </c>
      <c r="D17" s="1">
        <v>2</v>
      </c>
      <c r="E17" s="1">
        <v>2.17</v>
      </c>
      <c r="F17" s="1">
        <f t="shared" si="0"/>
        <v>4.34</v>
      </c>
      <c r="G17" s="1" t="s">
        <v>97</v>
      </c>
    </row>
    <row r="18" spans="1:7" x14ac:dyDescent="0.25">
      <c r="A18" s="1" t="s">
        <v>45</v>
      </c>
      <c r="B18" s="1" t="s">
        <v>46</v>
      </c>
      <c r="C18" s="1" t="s">
        <v>44</v>
      </c>
      <c r="D18" s="1">
        <v>3</v>
      </c>
      <c r="E18" s="1">
        <v>0.67100000000000004</v>
      </c>
      <c r="F18" s="1">
        <f t="shared" si="0"/>
        <v>2.0129999999999999</v>
      </c>
      <c r="G18" s="1" t="s">
        <v>97</v>
      </c>
    </row>
    <row r="19" spans="1:7" x14ac:dyDescent="0.25">
      <c r="A19" s="1" t="s">
        <v>47</v>
      </c>
      <c r="B19" s="1" t="s">
        <v>48</v>
      </c>
      <c r="C19" s="1" t="s">
        <v>49</v>
      </c>
      <c r="D19" s="1">
        <v>2</v>
      </c>
      <c r="E19" s="1">
        <v>1.79</v>
      </c>
      <c r="F19" s="1">
        <f t="shared" si="0"/>
        <v>3.58</v>
      </c>
      <c r="G19" s="1" t="s">
        <v>97</v>
      </c>
    </row>
    <row r="20" spans="1:7" x14ac:dyDescent="0.25">
      <c r="A20" s="1" t="s">
        <v>50</v>
      </c>
      <c r="B20" s="1" t="s">
        <v>51</v>
      </c>
      <c r="C20" s="1" t="s">
        <v>52</v>
      </c>
      <c r="D20" s="1">
        <v>4</v>
      </c>
      <c r="E20" s="1">
        <v>0.12</v>
      </c>
      <c r="F20" s="1">
        <f t="shared" si="0"/>
        <v>0.48</v>
      </c>
      <c r="G20" s="1" t="s">
        <v>97</v>
      </c>
    </row>
    <row r="21" spans="1:7" x14ac:dyDescent="0.25">
      <c r="A21" s="1" t="s">
        <v>53</v>
      </c>
      <c r="B21" s="1" t="s">
        <v>54</v>
      </c>
      <c r="C21" s="1" t="s">
        <v>55</v>
      </c>
      <c r="D21" s="1">
        <v>4</v>
      </c>
      <c r="E21" s="1">
        <v>0.112</v>
      </c>
      <c r="F21" s="1">
        <f t="shared" si="0"/>
        <v>0.44800000000000001</v>
      </c>
      <c r="G21" s="1" t="s">
        <v>97</v>
      </c>
    </row>
    <row r="22" spans="1:7" x14ac:dyDescent="0.25">
      <c r="A22" s="1" t="s">
        <v>56</v>
      </c>
      <c r="B22" s="1" t="s">
        <v>57</v>
      </c>
      <c r="C22" s="1" t="s">
        <v>58</v>
      </c>
      <c r="D22" s="1">
        <v>4</v>
      </c>
      <c r="E22" s="1">
        <v>0.12</v>
      </c>
      <c r="F22" s="1">
        <f t="shared" si="0"/>
        <v>0.48</v>
      </c>
      <c r="G22" s="1" t="s">
        <v>97</v>
      </c>
    </row>
    <row r="23" spans="1:7" x14ac:dyDescent="0.25">
      <c r="A23" s="4" t="s">
        <v>99</v>
      </c>
      <c r="B23" s="1" t="s">
        <v>59</v>
      </c>
      <c r="C23" s="1" t="s">
        <v>60</v>
      </c>
      <c r="D23" s="1">
        <v>2</v>
      </c>
      <c r="E23" s="1">
        <v>0.94599999999999995</v>
      </c>
      <c r="F23" s="1">
        <f t="shared" si="0"/>
        <v>1.8919999999999999</v>
      </c>
      <c r="G23" s="1" t="s">
        <v>97</v>
      </c>
    </row>
    <row r="24" spans="1:7" x14ac:dyDescent="0.25">
      <c r="A24" s="1" t="s">
        <v>61</v>
      </c>
      <c r="B24" s="1" t="s">
        <v>62</v>
      </c>
      <c r="C24" s="1" t="s">
        <v>63</v>
      </c>
      <c r="D24" s="1">
        <v>2</v>
      </c>
      <c r="E24" s="1">
        <v>0.12</v>
      </c>
      <c r="F24" s="1">
        <f t="shared" si="0"/>
        <v>0.24</v>
      </c>
      <c r="G24" s="1" t="s">
        <v>97</v>
      </c>
    </row>
    <row r="25" spans="1:7" x14ac:dyDescent="0.25">
      <c r="A25" s="1" t="s">
        <v>64</v>
      </c>
      <c r="B25" s="1" t="s">
        <v>65</v>
      </c>
      <c r="C25" s="1" t="s">
        <v>66</v>
      </c>
      <c r="D25" s="1">
        <v>2</v>
      </c>
      <c r="E25" s="1">
        <v>2.75</v>
      </c>
      <c r="F25" s="1">
        <f t="shared" si="0"/>
        <v>5.5</v>
      </c>
      <c r="G25" s="1" t="s">
        <v>97</v>
      </c>
    </row>
    <row r="26" spans="1:7" x14ac:dyDescent="0.25">
      <c r="A26" s="1" t="s">
        <v>67</v>
      </c>
      <c r="B26" s="1" t="s">
        <v>68</v>
      </c>
      <c r="C26" s="1" t="s">
        <v>69</v>
      </c>
      <c r="D26" s="1">
        <v>3</v>
      </c>
      <c r="E26" s="1">
        <v>0.10299999999999999</v>
      </c>
      <c r="F26" s="1">
        <f t="shared" si="0"/>
        <v>0.309</v>
      </c>
      <c r="G26" s="1" t="s">
        <v>97</v>
      </c>
    </row>
    <row r="27" spans="1:7" x14ac:dyDescent="0.25">
      <c r="A27" s="1" t="s">
        <v>70</v>
      </c>
      <c r="B27" s="1" t="s">
        <v>71</v>
      </c>
      <c r="C27" s="1" t="s">
        <v>72</v>
      </c>
      <c r="D27" s="1">
        <v>3</v>
      </c>
      <c r="E27" s="1">
        <v>0.64500000000000002</v>
      </c>
      <c r="F27" s="1">
        <f t="shared" si="0"/>
        <v>1.9350000000000001</v>
      </c>
      <c r="G27" s="1" t="s">
        <v>97</v>
      </c>
    </row>
    <row r="28" spans="1:7" x14ac:dyDescent="0.25">
      <c r="A28" s="1" t="s">
        <v>73</v>
      </c>
      <c r="B28" s="1" t="s">
        <v>74</v>
      </c>
      <c r="C28" s="1" t="s">
        <v>75</v>
      </c>
      <c r="D28" s="1">
        <v>2</v>
      </c>
      <c r="E28" s="1">
        <v>4.76</v>
      </c>
      <c r="F28" s="1">
        <f t="shared" si="0"/>
        <v>9.52</v>
      </c>
      <c r="G28" s="1" t="s">
        <v>97</v>
      </c>
    </row>
    <row r="29" spans="1:7" x14ac:dyDescent="0.25">
      <c r="A29" s="1" t="s">
        <v>76</v>
      </c>
      <c r="B29" s="1" t="s">
        <v>77</v>
      </c>
      <c r="C29" s="1" t="s">
        <v>78</v>
      </c>
      <c r="D29" s="1">
        <v>2</v>
      </c>
      <c r="E29" s="1">
        <v>8.42</v>
      </c>
      <c r="F29" s="1">
        <f t="shared" si="0"/>
        <v>16.84</v>
      </c>
      <c r="G29" s="1" t="s">
        <v>97</v>
      </c>
    </row>
    <row r="30" spans="1:7" x14ac:dyDescent="0.25">
      <c r="A30" s="1" t="s">
        <v>79</v>
      </c>
      <c r="B30" s="1" t="s">
        <v>80</v>
      </c>
      <c r="C30" s="1" t="s">
        <v>81</v>
      </c>
      <c r="D30" s="1">
        <v>4</v>
      </c>
      <c r="E30" s="1">
        <v>0.73099999999999998</v>
      </c>
      <c r="F30" s="1">
        <f t="shared" si="0"/>
        <v>2.9239999999999999</v>
      </c>
      <c r="G30" s="1" t="s">
        <v>97</v>
      </c>
    </row>
    <row r="31" spans="1:7" x14ac:dyDescent="0.25">
      <c r="A31" s="1" t="s">
        <v>82</v>
      </c>
      <c r="B31" s="1" t="s">
        <v>83</v>
      </c>
      <c r="C31" s="1" t="s">
        <v>84</v>
      </c>
      <c r="D31" s="1">
        <v>3</v>
      </c>
      <c r="E31" s="1">
        <v>2.37</v>
      </c>
      <c r="F31" s="1">
        <f t="shared" si="0"/>
        <v>7.11</v>
      </c>
      <c r="G31" s="1" t="s">
        <v>97</v>
      </c>
    </row>
    <row r="32" spans="1:7" x14ac:dyDescent="0.25">
      <c r="A32" s="4" t="s">
        <v>100</v>
      </c>
      <c r="B32" s="1" t="s">
        <v>85</v>
      </c>
      <c r="C32" s="1" t="s">
        <v>86</v>
      </c>
      <c r="D32" s="1">
        <v>4</v>
      </c>
      <c r="E32" s="1">
        <v>0.69</v>
      </c>
      <c r="F32" s="1">
        <f t="shared" si="0"/>
        <v>2.76</v>
      </c>
      <c r="G32" s="1" t="s">
        <v>97</v>
      </c>
    </row>
    <row r="33" spans="1:7" x14ac:dyDescent="0.25">
      <c r="A33" s="1" t="s">
        <v>87</v>
      </c>
      <c r="B33" s="1" t="s">
        <v>88</v>
      </c>
      <c r="C33" s="1" t="s">
        <v>89</v>
      </c>
      <c r="D33" s="1">
        <v>3</v>
      </c>
      <c r="E33" s="1">
        <v>1.62</v>
      </c>
      <c r="F33" s="1">
        <f t="shared" si="0"/>
        <v>4.8600000000000003</v>
      </c>
      <c r="G33" s="1" t="s">
        <v>97</v>
      </c>
    </row>
    <row r="34" spans="1:7" x14ac:dyDescent="0.25">
      <c r="A34" s="1" t="s">
        <v>90</v>
      </c>
      <c r="B34" s="1" t="s">
        <v>91</v>
      </c>
      <c r="C34" s="1" t="s">
        <v>92</v>
      </c>
      <c r="D34" s="1">
        <v>3</v>
      </c>
      <c r="E34" s="1">
        <v>0.99</v>
      </c>
      <c r="F34" s="1">
        <f t="shared" si="0"/>
        <v>2.9699999999999998</v>
      </c>
      <c r="G34" s="1" t="s">
        <v>97</v>
      </c>
    </row>
    <row r="35" spans="1:7" x14ac:dyDescent="0.25">
      <c r="A35" s="1" t="s">
        <v>93</v>
      </c>
      <c r="B35" s="1" t="s">
        <v>94</v>
      </c>
      <c r="C35" s="1" t="s">
        <v>95</v>
      </c>
      <c r="D35" s="1">
        <v>3</v>
      </c>
      <c r="E35" s="1">
        <v>0.92900000000000005</v>
      </c>
      <c r="F35" s="1">
        <f t="shared" si="0"/>
        <v>2.7869999999999999</v>
      </c>
      <c r="G35" s="1" t="s">
        <v>97</v>
      </c>
    </row>
    <row r="36" spans="1:7" x14ac:dyDescent="0.25">
      <c r="E36" t="s">
        <v>104</v>
      </c>
      <c r="F36">
        <f>SUM(F2:F35)</f>
        <v>91.716000000000022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CC1200_PCB</vt:lpstr>
      <vt:lpstr>CC1200_PCB!Print_Titles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Robbe Lehaen</dc:creator>
  <cp:lastModifiedBy>Robbe Lehaen</cp:lastModifiedBy>
  <dcterms:created xsi:type="dcterms:W3CDTF">2025-11-22T14:03:36Z</dcterms:created>
  <dcterms:modified xsi:type="dcterms:W3CDTF">2025-11-25T10:46:41Z</dcterms:modified>
</cp:coreProperties>
</file>